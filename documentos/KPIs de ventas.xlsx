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'Datos'!$A$1:$H$51</definedName>
    <definedName name="_xlnm.Print_Titles" localSheetId="0">'Datos'!$1:$1</definedName>
    <definedName name="_xlnm.Print_Area" localSheetId="1">'KPIs'!$A$1:$D$8</definedName>
    <definedName name="_xlnm.Print_Area" localSheetId="2">'Dashboard'!$A$1:$P$36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i val="1"/>
      <color rgb="005C6B7A"/>
      <sz val="11"/>
    </font>
    <font>
      <name val="Calibri"/>
      <b val="1"/>
      <color rgb="001F4E79"/>
      <sz val="12"/>
    </font>
    <font>
      <name val="Calibri"/>
      <i val="1"/>
      <color rgb="001F4E79"/>
      <sz val="11"/>
    </font>
    <font>
      <name val="Calibri"/>
      <b val="1"/>
      <color rgb="00FFFFFF"/>
      <sz val="22"/>
    </font>
    <font>
      <name val="Calibri"/>
      <i val="1"/>
      <color rgb="001B3A4B"/>
      <sz val="12"/>
    </font>
    <font>
      <name val="Calibri"/>
      <b val="1"/>
      <color rgb="001B3A4B"/>
      <sz val="2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B"/>
      </patternFill>
    </fill>
    <fill>
      <patternFill patternType="solid">
        <fgColor rgb="00FFF2CC"/>
      </patternFill>
    </fill>
    <fill>
      <patternFill patternType="solid">
        <fgColor rgb="00F8E4E4"/>
      </patternFill>
    </fill>
    <fill>
      <patternFill patternType="solid">
        <fgColor rgb="001B3A4B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1F4E79"/>
      </left>
      <right style="medium">
        <color rgb="001F4E79"/>
      </right>
      <top style="medium">
        <color rgb="001F4E79"/>
      </top>
    </border>
    <border>
      <left style="medium">
        <color rgb="001F4E79"/>
      </left>
      <right style="medium">
        <color rgb="001F4E79"/>
      </right>
      <bottom style="medium">
        <color rgb="001F4E7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6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9" fillId="3" borderId="3" applyAlignment="1" pivotButton="0" quotePrefix="0" xfId="0">
      <alignment horizontal="center" vertical="center"/>
    </xf>
    <xf numFmtId="0" fontId="0" fillId="3" borderId="3" pivotButton="0" quotePrefix="0" xfId="0"/>
    <xf numFmtId="1" fontId="9" fillId="3" borderId="3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Calibri"/>
        <b val="1"/>
        <color rgb="001E7A46"/>
        <sz val="11"/>
      </font>
      <fill>
        <patternFill patternType="solid">
          <fgColor rgb="00E5F6EA"/>
        </patternFill>
      </fill>
    </dxf>
    <dxf>
      <font>
        <name val="Calibri"/>
        <b val="1"/>
        <color rgb="00A93226"/>
        <sz val="11"/>
      </font>
      <fill>
        <patternFill patternType="solid">
          <fgColor rgb="00FDEDEC"/>
        </patternFill>
      </fill>
    </dxf>
    <dxf>
      <font>
        <name val="Calibri"/>
        <b val="1"/>
        <color rgb="00B9770E"/>
        <sz val="11"/>
      </font>
      <fill>
        <patternFill patternType="solid">
          <fgColor rgb="00FEF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'Dashboard'!B18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'Dashboard'!$A$19:$A$21</f>
            </numRef>
          </cat>
          <val>
            <numRef>
              <f>'Dashboard'!$B$19:$B$21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50000"/>
          <min val="0"/>
        </scaling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región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DADE2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86C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598B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'Dashboard'!$A$9:$A$16</f>
            </numRef>
          </cat>
          <val>
            <numRef>
              <f>'Dashboard'!$B$9:$B$16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000"/>
          <min val="0"/>
        </scaling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E7A46"/>
    <outlinePr summaryBelow="1" summaryRight="1"/>
    <pageSetUpPr fitToPage="1"/>
  </sheetPr>
  <dimension ref="A1:H53"/>
  <sheetViews>
    <sheetView showGridLines="1" zoomScale="13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4" customHeight="1">
      <c r="A1" s="1" t="inlineStr">
        <is>
          <t>ID</t>
        </is>
      </c>
      <c r="B1" s="1" t="inlineStr">
        <is>
          <t>Vendedor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Ventas</t>
        </is>
      </c>
      <c r="F1" s="1" t="inlineStr">
        <is>
          <t>Meta</t>
        </is>
      </c>
      <c r="G1" s="1" t="inlineStr">
        <is>
          <t>Cumplimiento</t>
        </is>
      </c>
      <c r="H1" s="1" t="inlineStr">
        <is>
          <t>Revisión</t>
        </is>
      </c>
    </row>
    <row r="2" ht="20" customHeight="1">
      <c r="A2" s="2" t="n">
        <v>1</v>
      </c>
      <c r="B2" s="3" t="inlineStr">
        <is>
          <t>Ana</t>
        </is>
      </c>
      <c r="C2" s="3" t="inlineStr">
        <is>
          <t>Norte</t>
        </is>
      </c>
      <c r="D2" s="3" t="inlineStr">
        <is>
          <t>Laptop</t>
        </is>
      </c>
      <c r="E2" s="4" t="n">
        <v>24000</v>
      </c>
      <c r="F2" s="4" t="n">
        <v>23500</v>
      </c>
      <c r="G2" s="5">
        <f>IF(E2&gt;=F2,"Sí","No")</f>
        <v/>
      </c>
      <c r="H2" s="2">
        <f>IF(G2="Sí","Correcta","Revisar")</f>
        <v/>
      </c>
    </row>
    <row r="3" ht="20" customHeight="1">
      <c r="A3" s="6" t="n">
        <v>2</v>
      </c>
      <c r="B3" s="7" t="inlineStr">
        <is>
          <t>Luis</t>
        </is>
      </c>
      <c r="C3" s="7" t="inlineStr">
        <is>
          <t>Norte</t>
        </is>
      </c>
      <c r="D3" s="7" t="inlineStr">
        <is>
          <t>Laptop</t>
        </is>
      </c>
      <c r="E3" s="8" t="n">
        <v>22000</v>
      </c>
      <c r="F3" s="8" t="n">
        <v>21500</v>
      </c>
      <c r="G3" s="5">
        <f>IF(E3&gt;=F3,"Sí","No")</f>
        <v/>
      </c>
      <c r="H3" s="2">
        <f>IF(G3="Sí","Correcta","Revisar")</f>
        <v/>
      </c>
    </row>
    <row r="4" ht="20" customHeight="1">
      <c r="A4" s="2" t="n">
        <v>3</v>
      </c>
      <c r="B4" s="3" t="inlineStr">
        <is>
          <t>Carlos</t>
        </is>
      </c>
      <c r="C4" s="3" t="inlineStr">
        <is>
          <t>Norte</t>
        </is>
      </c>
      <c r="D4" s="3" t="inlineStr">
        <is>
          <t>Laptop</t>
        </is>
      </c>
      <c r="E4" s="4" t="n">
        <v>14000</v>
      </c>
      <c r="F4" s="4" t="n">
        <v>13500</v>
      </c>
      <c r="G4" s="5">
        <f>IF(E4&gt;=F4,"Sí","No")</f>
        <v/>
      </c>
      <c r="H4" s="2">
        <f>IF(G4="Sí","Correcta","Revisar")</f>
        <v/>
      </c>
    </row>
    <row r="5" ht="20" customHeight="1">
      <c r="A5" s="6" t="n">
        <v>4</v>
      </c>
      <c r="B5" s="7" t="inlineStr">
        <is>
          <t>María</t>
        </is>
      </c>
      <c r="C5" s="7" t="inlineStr">
        <is>
          <t>Norte</t>
        </is>
      </c>
      <c r="D5" s="7" t="inlineStr">
        <is>
          <t>Laptop</t>
        </is>
      </c>
      <c r="E5" s="8" t="n">
        <v>9900</v>
      </c>
      <c r="F5" s="8" t="n">
        <v>9400</v>
      </c>
      <c r="G5" s="5">
        <f>IF(E5&gt;=F5,"Sí","No")</f>
        <v/>
      </c>
      <c r="H5" s="2">
        <f>IF(G5="Sí","Correcta","Revisar")</f>
        <v/>
      </c>
    </row>
    <row r="6" ht="20" customHeight="1">
      <c r="A6" s="2" t="n">
        <v>5</v>
      </c>
      <c r="B6" s="3" t="inlineStr">
        <is>
          <t>Pedro</t>
        </is>
      </c>
      <c r="C6" s="3" t="inlineStr">
        <is>
          <t>Norte</t>
        </is>
      </c>
      <c r="D6" s="3" t="inlineStr">
        <is>
          <t>Tablet</t>
        </is>
      </c>
      <c r="E6" s="4" t="n">
        <v>9000</v>
      </c>
      <c r="F6" s="4" t="n">
        <v>8500</v>
      </c>
      <c r="G6" s="5">
        <f>IF(E6&gt;=F6,"Sí","No")</f>
        <v/>
      </c>
      <c r="H6" s="2">
        <f>IF(G6="Sí","Correcta","Revisar")</f>
        <v/>
      </c>
    </row>
    <row r="7" ht="20" customHeight="1">
      <c r="A7" s="6" t="n">
        <v>6</v>
      </c>
      <c r="B7" s="7" t="inlineStr">
        <is>
          <t>Sofía</t>
        </is>
      </c>
      <c r="C7" s="7" t="inlineStr">
        <is>
          <t>Norte</t>
        </is>
      </c>
      <c r="D7" s="7" t="inlineStr">
        <is>
          <t>Tablet</t>
        </is>
      </c>
      <c r="E7" s="8" t="n">
        <v>6000</v>
      </c>
      <c r="F7" s="8" t="n">
        <v>5500</v>
      </c>
      <c r="G7" s="5">
        <f>IF(E7&gt;=F7,"Sí","No")</f>
        <v/>
      </c>
      <c r="H7" s="2">
        <f>IF(G7="Sí","Correcta","Revisar")</f>
        <v/>
      </c>
    </row>
    <row r="8" ht="20" customHeight="1">
      <c r="A8" s="2" t="n">
        <v>7</v>
      </c>
      <c r="B8" s="3" t="inlineStr">
        <is>
          <t>Diego</t>
        </is>
      </c>
      <c r="C8" s="3" t="inlineStr">
        <is>
          <t>Norte</t>
        </is>
      </c>
      <c r="D8" s="3" t="inlineStr">
        <is>
          <t>Monitor</t>
        </is>
      </c>
      <c r="E8" s="4" t="n">
        <v>5400</v>
      </c>
      <c r="F8" s="4" t="n">
        <v>6200</v>
      </c>
      <c r="G8" s="5">
        <f>IF(E8&gt;=F8,"Sí","No")</f>
        <v/>
      </c>
      <c r="H8" s="2">
        <f>IF(G8="Sí","Correcta","Revisar")</f>
        <v/>
      </c>
    </row>
    <row r="9" ht="20" customHeight="1">
      <c r="A9" s="6" t="n">
        <v>8</v>
      </c>
      <c r="B9" s="7" t="inlineStr">
        <is>
          <t>Laura</t>
        </is>
      </c>
      <c r="C9" s="7" t="inlineStr">
        <is>
          <t>Norte</t>
        </is>
      </c>
      <c r="D9" s="7" t="inlineStr">
        <is>
          <t>Monitor</t>
        </is>
      </c>
      <c r="E9" s="8" t="n">
        <v>4000</v>
      </c>
      <c r="F9" s="8" t="n">
        <v>3500</v>
      </c>
      <c r="G9" s="5">
        <f>IF(E9&gt;=F9,"Sí","No")</f>
        <v/>
      </c>
      <c r="H9" s="2">
        <f>IF(G9="Sí","Correcta","Revisar")</f>
        <v/>
      </c>
    </row>
    <row r="10" ht="20" customHeight="1">
      <c r="A10" s="2" t="n">
        <v>9</v>
      </c>
      <c r="B10" s="3" t="inlineStr">
        <is>
          <t>Valeria</t>
        </is>
      </c>
      <c r="C10" s="3" t="inlineStr">
        <is>
          <t>Centro</t>
        </is>
      </c>
      <c r="D10" s="3" t="inlineStr">
        <is>
          <t>Laptop</t>
        </is>
      </c>
      <c r="E10" s="4" t="n">
        <v>10000</v>
      </c>
      <c r="F10" s="4" t="n">
        <v>9500</v>
      </c>
      <c r="G10" s="5">
        <f>IF(E10&gt;=F10,"Sí","No")</f>
        <v/>
      </c>
      <c r="H10" s="2">
        <f>IF(G10="Sí","Correcta","Revisar")</f>
        <v/>
      </c>
    </row>
    <row r="11" ht="20" customHeight="1">
      <c r="A11" s="6" t="n">
        <v>10</v>
      </c>
      <c r="B11" s="7" t="inlineStr">
        <is>
          <t>Miguel</t>
        </is>
      </c>
      <c r="C11" s="7" t="inlineStr">
        <is>
          <t>Centro</t>
        </is>
      </c>
      <c r="D11" s="7" t="inlineStr">
        <is>
          <t>Laptop</t>
        </is>
      </c>
      <c r="E11" s="8" t="n">
        <v>8000</v>
      </c>
      <c r="F11" s="8" t="n">
        <v>7500</v>
      </c>
      <c r="G11" s="5">
        <f>IF(E11&gt;=F11,"Sí","No")</f>
        <v/>
      </c>
      <c r="H11" s="2">
        <f>IF(G11="Sí","Correcta","Revisar")</f>
        <v/>
      </c>
    </row>
    <row r="12" ht="20" customHeight="1">
      <c r="A12" s="2" t="n">
        <v>11</v>
      </c>
      <c r="B12" s="3" t="inlineStr">
        <is>
          <t>Jorge</t>
        </is>
      </c>
      <c r="C12" s="3" t="inlineStr">
        <is>
          <t>Centro</t>
        </is>
      </c>
      <c r="D12" s="3" t="inlineStr">
        <is>
          <t>Tablet</t>
        </is>
      </c>
      <c r="E12" s="4" t="n">
        <v>15000</v>
      </c>
      <c r="F12" s="4" t="n">
        <v>14500</v>
      </c>
      <c r="G12" s="5">
        <f>IF(E12&gt;=F12,"Sí","No")</f>
        <v/>
      </c>
      <c r="H12" s="2">
        <f>IF(G12="Sí","Correcta","Revisar")</f>
        <v/>
      </c>
    </row>
    <row r="13" ht="20" customHeight="1">
      <c r="A13" s="6" t="n">
        <v>12</v>
      </c>
      <c r="B13" s="7" t="inlineStr">
        <is>
          <t>Fernanda</t>
        </is>
      </c>
      <c r="C13" s="7" t="inlineStr">
        <is>
          <t>Centro</t>
        </is>
      </c>
      <c r="D13" s="7" t="inlineStr">
        <is>
          <t>Tablet</t>
        </is>
      </c>
      <c r="E13" s="8" t="n">
        <v>13000</v>
      </c>
      <c r="F13" s="8" t="n">
        <v>12500</v>
      </c>
      <c r="G13" s="5">
        <f>IF(E13&gt;=F13,"Sí","No")</f>
        <v/>
      </c>
      <c r="H13" s="2">
        <f>IF(G13="Sí","Correcta","Revisar")</f>
        <v/>
      </c>
    </row>
    <row r="14" ht="20" customHeight="1">
      <c r="A14" s="2" t="n">
        <v>13</v>
      </c>
      <c r="B14" s="3" t="inlineStr">
        <is>
          <t>Ricardo</t>
        </is>
      </c>
      <c r="C14" s="3" t="inlineStr">
        <is>
          <t>Centro</t>
        </is>
      </c>
      <c r="D14" s="3" t="inlineStr">
        <is>
          <t>Tablet</t>
        </is>
      </c>
      <c r="E14" s="4" t="n">
        <v>10300</v>
      </c>
      <c r="F14" s="4" t="n">
        <v>9800</v>
      </c>
      <c r="G14" s="5">
        <f>IF(E14&gt;=F14,"Sí","No")</f>
        <v/>
      </c>
      <c r="H14" s="2">
        <f>IF(G14="Sí","Correcta","Revisar")</f>
        <v/>
      </c>
    </row>
    <row r="15" ht="20" customHeight="1">
      <c r="A15" s="6" t="n">
        <v>14</v>
      </c>
      <c r="B15" s="7" t="inlineStr">
        <is>
          <t>Paola</t>
        </is>
      </c>
      <c r="C15" s="7" t="inlineStr">
        <is>
          <t>Centro</t>
        </is>
      </c>
      <c r="D15" s="7" t="inlineStr">
        <is>
          <t>Monitor</t>
        </is>
      </c>
      <c r="E15" s="8" t="n">
        <v>5000</v>
      </c>
      <c r="F15" s="8" t="n">
        <v>4500</v>
      </c>
      <c r="G15" s="5">
        <f>IF(E15&gt;=F15,"Sí","No")</f>
        <v/>
      </c>
      <c r="H15" s="2">
        <f>IF(G15="Sí","Correcta","Revisar")</f>
        <v/>
      </c>
    </row>
    <row r="16" ht="20" customHeight="1">
      <c r="A16" s="2" t="n">
        <v>15</v>
      </c>
      <c r="B16" s="3" t="inlineStr">
        <is>
          <t>Andrés</t>
        </is>
      </c>
      <c r="C16" s="3" t="inlineStr">
        <is>
          <t>Centro</t>
        </is>
      </c>
      <c r="D16" s="3" t="inlineStr">
        <is>
          <t>Monitor</t>
        </is>
      </c>
      <c r="E16" s="4" t="n">
        <v>3800</v>
      </c>
      <c r="F16" s="4" t="n">
        <v>4600</v>
      </c>
      <c r="G16" s="5">
        <f>IF(E16&gt;=F16,"Sí","No")</f>
        <v/>
      </c>
      <c r="H16" s="2">
        <f>IF(G16="Sí","Correcta","Revisar")</f>
        <v/>
      </c>
    </row>
    <row r="17" ht="20" customHeight="1">
      <c r="A17" s="6" t="n">
        <v>16</v>
      </c>
      <c r="B17" s="7" t="inlineStr">
        <is>
          <t>Daniela</t>
        </is>
      </c>
      <c r="C17" s="7" t="inlineStr">
        <is>
          <t>Occidente</t>
        </is>
      </c>
      <c r="D17" s="7" t="inlineStr">
        <is>
          <t>Laptop</t>
        </is>
      </c>
      <c r="E17" s="8" t="n">
        <v>17000</v>
      </c>
      <c r="F17" s="8" t="n">
        <v>16500</v>
      </c>
      <c r="G17" s="5">
        <f>IF(E17&gt;=F17,"Sí","No")</f>
        <v/>
      </c>
      <c r="H17" s="2">
        <f>IF(G17="Sí","Correcta","Revisar")</f>
        <v/>
      </c>
    </row>
    <row r="18" ht="20" customHeight="1">
      <c r="A18" s="2" t="n">
        <v>17</v>
      </c>
      <c r="B18" s="3" t="inlineStr">
        <is>
          <t>Héctor</t>
        </is>
      </c>
      <c r="C18" s="3" t="inlineStr">
        <is>
          <t>Occidente</t>
        </is>
      </c>
      <c r="D18" s="3" t="inlineStr">
        <is>
          <t>Laptop</t>
        </is>
      </c>
      <c r="E18" s="4" t="n">
        <v>15000</v>
      </c>
      <c r="F18" s="4" t="n">
        <v>14500</v>
      </c>
      <c r="G18" s="5">
        <f>IF(E18&gt;=F18,"Sí","No")</f>
        <v/>
      </c>
      <c r="H18" s="2">
        <f>IF(G18="Sí","Correcta","Revisar")</f>
        <v/>
      </c>
    </row>
    <row r="19" ht="20" customHeight="1">
      <c r="A19" s="6" t="n">
        <v>18</v>
      </c>
      <c r="B19" s="7" t="inlineStr">
        <is>
          <t>Camila</t>
        </is>
      </c>
      <c r="C19" s="7" t="inlineStr">
        <is>
          <t>Occidente</t>
        </is>
      </c>
      <c r="D19" s="7" t="inlineStr">
        <is>
          <t>Tablet</t>
        </is>
      </c>
      <c r="E19" s="8" t="n">
        <v>14000</v>
      </c>
      <c r="F19" s="8" t="n">
        <v>13500</v>
      </c>
      <c r="G19" s="5">
        <f>IF(E19&gt;=F19,"Sí","No")</f>
        <v/>
      </c>
      <c r="H19" s="2">
        <f>IF(G19="Sí","Correcta","Revisar")</f>
        <v/>
      </c>
    </row>
    <row r="20" ht="20" customHeight="1">
      <c r="A20" s="2" t="n">
        <v>19</v>
      </c>
      <c r="B20" s="3" t="inlineStr">
        <is>
          <t>Bruno</t>
        </is>
      </c>
      <c r="C20" s="3" t="inlineStr">
        <is>
          <t>Occidente</t>
        </is>
      </c>
      <c r="D20" s="3" t="inlineStr">
        <is>
          <t>Tablet</t>
        </is>
      </c>
      <c r="E20" s="4" t="n">
        <v>11000</v>
      </c>
      <c r="F20" s="4" t="n">
        <v>10500</v>
      </c>
      <c r="G20" s="5">
        <f>IF(E20&gt;=F20,"Sí","No")</f>
        <v/>
      </c>
      <c r="H20" s="2">
        <f>IF(G20="Sí","Correcta","Revisar")</f>
        <v/>
      </c>
    </row>
    <row r="21" ht="20" customHeight="1">
      <c r="A21" s="6" t="n">
        <v>20</v>
      </c>
      <c r="B21" s="7" t="inlineStr">
        <is>
          <t>Renata</t>
        </is>
      </c>
      <c r="C21" s="7" t="inlineStr">
        <is>
          <t>Occidente</t>
        </is>
      </c>
      <c r="D21" s="7" t="inlineStr">
        <is>
          <t>Monitor</t>
        </is>
      </c>
      <c r="E21" s="8" t="n">
        <v>8000</v>
      </c>
      <c r="F21" s="8" t="n">
        <v>7500</v>
      </c>
      <c r="G21" s="5">
        <f>IF(E21&gt;=F21,"Sí","No")</f>
        <v/>
      </c>
      <c r="H21" s="2">
        <f>IF(G21="Sí","Correcta","Revisar")</f>
        <v/>
      </c>
    </row>
    <row r="22" ht="20" customHeight="1">
      <c r="A22" s="2" t="n">
        <v>21</v>
      </c>
      <c r="B22" s="3" t="inlineStr">
        <is>
          <t>Elena</t>
        </is>
      </c>
      <c r="C22" s="3" t="inlineStr">
        <is>
          <t>Occidente</t>
        </is>
      </c>
      <c r="D22" s="3" t="inlineStr">
        <is>
          <t>Monitor</t>
        </is>
      </c>
      <c r="E22" s="4" t="n">
        <v>6900</v>
      </c>
      <c r="F22" s="4" t="n">
        <v>6400</v>
      </c>
      <c r="G22" s="5">
        <f>IF(E22&gt;=F22,"Sí","No")</f>
        <v/>
      </c>
      <c r="H22" s="2">
        <f>IF(G22="Sí","Correcta","Revisar")</f>
        <v/>
      </c>
    </row>
    <row r="23" ht="20" customHeight="1">
      <c r="A23" s="6" t="n">
        <v>22</v>
      </c>
      <c r="B23" s="7" t="inlineStr">
        <is>
          <t>Tomás</t>
        </is>
      </c>
      <c r="C23" s="7" t="inlineStr">
        <is>
          <t>Sur</t>
        </is>
      </c>
      <c r="D23" s="7" t="inlineStr">
        <is>
          <t>Laptop</t>
        </is>
      </c>
      <c r="E23" s="8" t="n">
        <v>5000</v>
      </c>
      <c r="F23" s="8" t="n">
        <v>4500</v>
      </c>
      <c r="G23" s="5">
        <f>IF(E23&gt;=F23,"Sí","No")</f>
        <v/>
      </c>
      <c r="H23" s="2">
        <f>IF(G23="Sí","Correcta","Revisar")</f>
        <v/>
      </c>
    </row>
    <row r="24" ht="20" customHeight="1">
      <c r="A24" s="2" t="n">
        <v>23</v>
      </c>
      <c r="B24" s="3" t="inlineStr">
        <is>
          <t>Natalia</t>
        </is>
      </c>
      <c r="C24" s="3" t="inlineStr">
        <is>
          <t>Sur</t>
        </is>
      </c>
      <c r="D24" s="3" t="inlineStr">
        <is>
          <t>Laptop</t>
        </is>
      </c>
      <c r="E24" s="4" t="n">
        <v>3000</v>
      </c>
      <c r="F24" s="4" t="n">
        <v>2500</v>
      </c>
      <c r="G24" s="5">
        <f>IF(E24&gt;=F24,"Sí","No")</f>
        <v/>
      </c>
      <c r="H24" s="2">
        <f>IF(G24="Sí","Correcta","Revisar")</f>
        <v/>
      </c>
    </row>
    <row r="25" ht="20" customHeight="1">
      <c r="A25" s="6" t="n">
        <v>24</v>
      </c>
      <c r="B25" s="7" t="inlineStr">
        <is>
          <t>Juan</t>
        </is>
      </c>
      <c r="C25" s="7" t="inlineStr">
        <is>
          <t>Sur</t>
        </is>
      </c>
      <c r="D25" s="7" t="inlineStr">
        <is>
          <t>Tablet</t>
        </is>
      </c>
      <c r="E25" s="8" t="n">
        <v>4000</v>
      </c>
      <c r="F25" s="8" t="n">
        <v>3500</v>
      </c>
      <c r="G25" s="5">
        <f>IF(E25&gt;=F25,"Sí","No")</f>
        <v/>
      </c>
      <c r="H25" s="2">
        <f>IF(G25="Sí","Correcta","Revisar")</f>
        <v/>
      </c>
    </row>
    <row r="26" ht="20" customHeight="1">
      <c r="A26" s="2" t="n">
        <v>25</v>
      </c>
      <c r="B26" s="3" t="inlineStr">
        <is>
          <t>Paola</t>
        </is>
      </c>
      <c r="C26" s="3" t="inlineStr">
        <is>
          <t>Sur</t>
        </is>
      </c>
      <c r="D26" s="3" t="inlineStr">
        <is>
          <t>Tablet</t>
        </is>
      </c>
      <c r="E26" s="4" t="n">
        <v>3500</v>
      </c>
      <c r="F26" s="4" t="n">
        <v>3000</v>
      </c>
      <c r="G26" s="5">
        <f>IF(E26&gt;=F26,"Sí","No")</f>
        <v/>
      </c>
      <c r="H26" s="2">
        <f>IF(G26="Sí","Correcta","Revisar")</f>
        <v/>
      </c>
    </row>
    <row r="27" ht="20" customHeight="1">
      <c r="A27" s="6" t="n">
        <v>26</v>
      </c>
      <c r="B27" s="7" t="inlineStr">
        <is>
          <t>Ana</t>
        </is>
      </c>
      <c r="C27" s="7" t="inlineStr">
        <is>
          <t>Sur</t>
        </is>
      </c>
      <c r="D27" s="7" t="inlineStr">
        <is>
          <t>Monitor</t>
        </is>
      </c>
      <c r="E27" s="8" t="n">
        <v>3000</v>
      </c>
      <c r="F27" s="8" t="n">
        <v>3800</v>
      </c>
      <c r="G27" s="5">
        <f>IF(E27&gt;=F27,"Sí","No")</f>
        <v/>
      </c>
      <c r="H27" s="2">
        <f>IF(G27="Sí","Correcta","Revisar")</f>
        <v/>
      </c>
    </row>
    <row r="28" ht="20" customHeight="1">
      <c r="A28" s="2" t="n">
        <v>27</v>
      </c>
      <c r="B28" s="3" t="inlineStr">
        <is>
          <t>Luis</t>
        </is>
      </c>
      <c r="C28" s="3" t="inlineStr">
        <is>
          <t>Sur</t>
        </is>
      </c>
      <c r="D28" s="3" t="inlineStr">
        <is>
          <t>Monitor</t>
        </is>
      </c>
      <c r="E28" s="4" t="n">
        <v>2000</v>
      </c>
      <c r="F28" s="4" t="n">
        <v>2800</v>
      </c>
      <c r="G28" s="5">
        <f>IF(E28&gt;=F28,"Sí","No")</f>
        <v/>
      </c>
      <c r="H28" s="2">
        <f>IF(G28="Sí","Correcta","Revisar")</f>
        <v/>
      </c>
    </row>
    <row r="29" ht="20" customHeight="1">
      <c r="A29" s="6" t="n">
        <v>28</v>
      </c>
      <c r="B29" s="7" t="inlineStr">
        <is>
          <t>Carlos</t>
        </is>
      </c>
      <c r="C29" s="7" t="inlineStr">
        <is>
          <t>Sureste</t>
        </is>
      </c>
      <c r="D29" s="7" t="inlineStr">
        <is>
          <t>Laptop</t>
        </is>
      </c>
      <c r="E29" s="8" t="n">
        <v>4000</v>
      </c>
      <c r="F29" s="8" t="n">
        <v>3500</v>
      </c>
      <c r="G29" s="5">
        <f>IF(E29&gt;=F29,"Sí","No")</f>
        <v/>
      </c>
      <c r="H29" s="2">
        <f>IF(G29="Sí","Correcta","Revisar")</f>
        <v/>
      </c>
    </row>
    <row r="30" ht="20" customHeight="1">
      <c r="A30" s="2" t="n">
        <v>29</v>
      </c>
      <c r="B30" s="3" t="inlineStr">
        <is>
          <t>María</t>
        </is>
      </c>
      <c r="C30" s="3" t="inlineStr">
        <is>
          <t>Sureste</t>
        </is>
      </c>
      <c r="D30" s="3" t="inlineStr">
        <is>
          <t>Laptop</t>
        </is>
      </c>
      <c r="E30" s="4" t="n">
        <v>3000</v>
      </c>
      <c r="F30" s="4" t="n">
        <v>3800</v>
      </c>
      <c r="G30" s="5">
        <f>IF(E30&gt;=F30,"Sí","No")</f>
        <v/>
      </c>
      <c r="H30" s="2">
        <f>IF(G30="Sí","Correcta","Revisar")</f>
        <v/>
      </c>
    </row>
    <row r="31" ht="20" customHeight="1">
      <c r="A31" s="6" t="n">
        <v>30</v>
      </c>
      <c r="B31" s="7" t="inlineStr">
        <is>
          <t>Pedro</t>
        </is>
      </c>
      <c r="C31" s="7" t="inlineStr">
        <is>
          <t>Sureste</t>
        </is>
      </c>
      <c r="D31" s="7" t="inlineStr">
        <is>
          <t>Tablet</t>
        </is>
      </c>
      <c r="E31" s="8" t="n">
        <v>4500</v>
      </c>
      <c r="F31" s="8" t="n">
        <v>4000</v>
      </c>
      <c r="G31" s="5">
        <f>IF(E31&gt;=F31,"Sí","No")</f>
        <v/>
      </c>
      <c r="H31" s="2">
        <f>IF(G31="Sí","Correcta","Revisar")</f>
        <v/>
      </c>
    </row>
    <row r="32" ht="20" customHeight="1">
      <c r="A32" s="2" t="n">
        <v>31</v>
      </c>
      <c r="B32" s="3" t="inlineStr">
        <is>
          <t>Sofía</t>
        </is>
      </c>
      <c r="C32" s="3" t="inlineStr">
        <is>
          <t>Sureste</t>
        </is>
      </c>
      <c r="D32" s="3" t="inlineStr">
        <is>
          <t>Tablet</t>
        </is>
      </c>
      <c r="E32" s="4" t="n">
        <v>3700</v>
      </c>
      <c r="F32" s="4" t="n">
        <v>4500</v>
      </c>
      <c r="G32" s="5">
        <f>IF(E32&gt;=F32,"Sí","No")</f>
        <v/>
      </c>
      <c r="H32" s="2">
        <f>IF(G32="Sí","Correcta","Revisar")</f>
        <v/>
      </c>
    </row>
    <row r="33" ht="20" customHeight="1">
      <c r="A33" s="6" t="n">
        <v>32</v>
      </c>
      <c r="B33" s="7" t="inlineStr">
        <is>
          <t>Diego</t>
        </is>
      </c>
      <c r="C33" s="7" t="inlineStr">
        <is>
          <t>Sureste</t>
        </is>
      </c>
      <c r="D33" s="7" t="inlineStr">
        <is>
          <t>Monitor</t>
        </is>
      </c>
      <c r="E33" s="8" t="n">
        <v>3000</v>
      </c>
      <c r="F33" s="8" t="n">
        <v>3800</v>
      </c>
      <c r="G33" s="5">
        <f>IF(E33&gt;=F33,"Sí","No")</f>
        <v/>
      </c>
      <c r="H33" s="2">
        <f>IF(G33="Sí","Correcta","Revisar")</f>
        <v/>
      </c>
    </row>
    <row r="34" ht="20" customHeight="1">
      <c r="A34" s="2" t="n">
        <v>33</v>
      </c>
      <c r="B34" s="3" t="inlineStr">
        <is>
          <t>Laura</t>
        </is>
      </c>
      <c r="C34" s="3" t="inlineStr">
        <is>
          <t>Sureste</t>
        </is>
      </c>
      <c r="D34" s="3" t="inlineStr">
        <is>
          <t>Monitor</t>
        </is>
      </c>
      <c r="E34" s="4" t="n">
        <v>2000</v>
      </c>
      <c r="F34" s="4" t="n">
        <v>2800</v>
      </c>
      <c r="G34" s="5">
        <f>IF(E34&gt;=F34,"Sí","No")</f>
        <v/>
      </c>
      <c r="H34" s="2">
        <f>IF(G34="Sí","Correcta","Revisar")</f>
        <v/>
      </c>
    </row>
    <row r="35" ht="20" customHeight="1">
      <c r="A35" s="6" t="n">
        <v>34</v>
      </c>
      <c r="B35" s="7" t="inlineStr">
        <is>
          <t>Jorge</t>
        </is>
      </c>
      <c r="C35" s="7" t="inlineStr">
        <is>
          <t>Noroeste</t>
        </is>
      </c>
      <c r="D35" s="7" t="inlineStr">
        <is>
          <t>Laptop</t>
        </is>
      </c>
      <c r="E35" s="8" t="n">
        <v>18000</v>
      </c>
      <c r="F35" s="8" t="n">
        <v>18800</v>
      </c>
      <c r="G35" s="5">
        <f>IF(E35&gt;=F35,"Sí","No")</f>
        <v/>
      </c>
      <c r="H35" s="2">
        <f>IF(G35="Sí","Correcta","Revisar")</f>
        <v/>
      </c>
    </row>
    <row r="36" ht="20" customHeight="1">
      <c r="A36" s="2" t="n">
        <v>35</v>
      </c>
      <c r="B36" s="3" t="inlineStr">
        <is>
          <t>Fernanda</t>
        </is>
      </c>
      <c r="C36" s="3" t="inlineStr">
        <is>
          <t>Noroeste</t>
        </is>
      </c>
      <c r="D36" s="3" t="inlineStr">
        <is>
          <t>Laptop</t>
        </is>
      </c>
      <c r="E36" s="4" t="n">
        <v>17000</v>
      </c>
      <c r="F36" s="4" t="n">
        <v>17800</v>
      </c>
      <c r="G36" s="5">
        <f>IF(E36&gt;=F36,"Sí","No")</f>
        <v/>
      </c>
      <c r="H36" s="2">
        <f>IF(G36="Sí","Correcta","Revisar")</f>
        <v/>
      </c>
    </row>
    <row r="37" ht="20" customHeight="1">
      <c r="A37" s="6" t="n">
        <v>36</v>
      </c>
      <c r="B37" s="7" t="inlineStr">
        <is>
          <t>Ricardo</t>
        </is>
      </c>
      <c r="C37" s="7" t="inlineStr">
        <is>
          <t>Noroeste</t>
        </is>
      </c>
      <c r="D37" s="7" t="inlineStr">
        <is>
          <t>Tablet</t>
        </is>
      </c>
      <c r="E37" s="8" t="n">
        <v>16000</v>
      </c>
      <c r="F37" s="8" t="n">
        <v>16800</v>
      </c>
      <c r="G37" s="5">
        <f>IF(E37&gt;=F37,"Sí","No")</f>
        <v/>
      </c>
      <c r="H37" s="2">
        <f>IF(G37="Sí","Correcta","Revisar")</f>
        <v/>
      </c>
    </row>
    <row r="38" ht="20" customHeight="1">
      <c r="A38" s="2" t="n">
        <v>37</v>
      </c>
      <c r="B38" s="3" t="inlineStr">
        <is>
          <t>Valeria</t>
        </is>
      </c>
      <c r="C38" s="3" t="inlineStr">
        <is>
          <t>Noroeste</t>
        </is>
      </c>
      <c r="D38" s="3" t="inlineStr">
        <is>
          <t>Tablet</t>
        </is>
      </c>
      <c r="E38" s="4" t="n">
        <v>14000</v>
      </c>
      <c r="F38" s="4" t="n">
        <v>14800</v>
      </c>
      <c r="G38" s="5">
        <f>IF(E38&gt;=F38,"Sí","No")</f>
        <v/>
      </c>
      <c r="H38" s="2">
        <f>IF(G38="Sí","Correcta","Revisar")</f>
        <v/>
      </c>
    </row>
    <row r="39" ht="20" customHeight="1">
      <c r="A39" s="6" t="n">
        <v>38</v>
      </c>
      <c r="B39" s="7" t="inlineStr">
        <is>
          <t>Miguel</t>
        </is>
      </c>
      <c r="C39" s="7" t="inlineStr">
        <is>
          <t>Noroeste</t>
        </is>
      </c>
      <c r="D39" s="7" t="inlineStr">
        <is>
          <t>Monitor</t>
        </is>
      </c>
      <c r="E39" s="8" t="n">
        <v>12000</v>
      </c>
      <c r="F39" s="8" t="n">
        <v>12800</v>
      </c>
      <c r="G39" s="5">
        <f>IF(E39&gt;=F39,"Sí","No")</f>
        <v/>
      </c>
      <c r="H39" s="2">
        <f>IF(G39="Sí","Correcta","Revisar")</f>
        <v/>
      </c>
    </row>
    <row r="40" ht="20" customHeight="1">
      <c r="A40" s="2" t="n">
        <v>39</v>
      </c>
      <c r="B40" s="3" t="inlineStr">
        <is>
          <t>Paola</t>
        </is>
      </c>
      <c r="C40" s="3" t="inlineStr">
        <is>
          <t>Noroeste</t>
        </is>
      </c>
      <c r="D40" s="3" t="inlineStr">
        <is>
          <t>Monitor</t>
        </is>
      </c>
      <c r="E40" s="4" t="n">
        <v>9200</v>
      </c>
      <c r="F40" s="4" t="n">
        <v>10000</v>
      </c>
      <c r="G40" s="5">
        <f>IF(E40&gt;=F40,"Sí","No")</f>
        <v/>
      </c>
      <c r="H40" s="2">
        <f>IF(G40="Sí","Correcta","Revisar")</f>
        <v/>
      </c>
    </row>
    <row r="41" ht="20" customHeight="1">
      <c r="A41" s="6" t="n">
        <v>40</v>
      </c>
      <c r="B41" s="7" t="inlineStr">
        <is>
          <t>Andrés</t>
        </is>
      </c>
      <c r="C41" s="7" t="inlineStr">
        <is>
          <t>Bajío</t>
        </is>
      </c>
      <c r="D41" s="7" t="inlineStr">
        <is>
          <t>Laptop</t>
        </is>
      </c>
      <c r="E41" s="8" t="n">
        <v>12000</v>
      </c>
      <c r="F41" s="8" t="n">
        <v>12800</v>
      </c>
      <c r="G41" s="5">
        <f>IF(E41&gt;=F41,"Sí","No")</f>
        <v/>
      </c>
      <c r="H41" s="2">
        <f>IF(G41="Sí","Correcta","Revisar")</f>
        <v/>
      </c>
    </row>
    <row r="42" ht="20" customHeight="1">
      <c r="A42" s="2" t="n">
        <v>41</v>
      </c>
      <c r="B42" s="3" t="inlineStr">
        <is>
          <t>Daniela</t>
        </is>
      </c>
      <c r="C42" s="3" t="inlineStr">
        <is>
          <t>Bajío</t>
        </is>
      </c>
      <c r="D42" s="3" t="inlineStr">
        <is>
          <t>Laptop</t>
        </is>
      </c>
      <c r="E42" s="4" t="n">
        <v>10000</v>
      </c>
      <c r="F42" s="4" t="n">
        <v>10800</v>
      </c>
      <c r="G42" s="5">
        <f>IF(E42&gt;=F42,"Sí","No")</f>
        <v/>
      </c>
      <c r="H42" s="2">
        <f>IF(G42="Sí","Correcta","Revisar")</f>
        <v/>
      </c>
    </row>
    <row r="43" ht="20" customHeight="1">
      <c r="A43" s="6" t="n">
        <v>42</v>
      </c>
      <c r="B43" s="7" t="inlineStr">
        <is>
          <t>Héctor</t>
        </is>
      </c>
      <c r="C43" s="7" t="inlineStr">
        <is>
          <t>Bajío</t>
        </is>
      </c>
      <c r="D43" s="7" t="inlineStr">
        <is>
          <t>Tablet</t>
        </is>
      </c>
      <c r="E43" s="8" t="n">
        <v>12000</v>
      </c>
      <c r="F43" s="8" t="n">
        <v>12800</v>
      </c>
      <c r="G43" s="5">
        <f>IF(E43&gt;=F43,"Sí","No")</f>
        <v/>
      </c>
      <c r="H43" s="2">
        <f>IF(G43="Sí","Correcta","Revisar")</f>
        <v/>
      </c>
    </row>
    <row r="44" ht="20" customHeight="1">
      <c r="A44" s="2" t="n">
        <v>43</v>
      </c>
      <c r="B44" s="3" t="inlineStr">
        <is>
          <t>Camila</t>
        </is>
      </c>
      <c r="C44" s="3" t="inlineStr">
        <is>
          <t>Bajío</t>
        </is>
      </c>
      <c r="D44" s="3" t="inlineStr">
        <is>
          <t>Tablet</t>
        </is>
      </c>
      <c r="E44" s="4" t="n">
        <v>10000</v>
      </c>
      <c r="F44" s="4" t="n">
        <v>10800</v>
      </c>
      <c r="G44" s="5">
        <f>IF(E44&gt;=F44,"Sí","No")</f>
        <v/>
      </c>
      <c r="H44" s="2">
        <f>IF(G44="Sí","Correcta","Revisar")</f>
        <v/>
      </c>
    </row>
    <row r="45" ht="20" customHeight="1">
      <c r="A45" s="6" t="n">
        <v>44</v>
      </c>
      <c r="B45" s="7" t="inlineStr">
        <is>
          <t>Bruno</t>
        </is>
      </c>
      <c r="C45" s="7" t="inlineStr">
        <is>
          <t>Bajío</t>
        </is>
      </c>
      <c r="D45" s="7" t="inlineStr">
        <is>
          <t>Monitor</t>
        </is>
      </c>
      <c r="E45" s="8" t="n">
        <v>7600</v>
      </c>
      <c r="F45" s="8" t="n">
        <v>8400</v>
      </c>
      <c r="G45" s="5">
        <f>IF(E45&gt;=F45,"Sí","No")</f>
        <v/>
      </c>
      <c r="H45" s="2">
        <f>IF(G45="Sí","Correcta","Revisar")</f>
        <v/>
      </c>
    </row>
    <row r="46" ht="20" customHeight="1">
      <c r="A46" s="2" t="n">
        <v>45</v>
      </c>
      <c r="B46" s="3" t="inlineStr">
        <is>
          <t>Renata</t>
        </is>
      </c>
      <c r="C46" s="3" t="inlineStr">
        <is>
          <t>Bajío</t>
        </is>
      </c>
      <c r="D46" s="3" t="inlineStr">
        <is>
          <t>Monitor</t>
        </is>
      </c>
      <c r="E46" s="4" t="n">
        <v>6000</v>
      </c>
      <c r="F46" s="4" t="n">
        <v>6800</v>
      </c>
      <c r="G46" s="5">
        <f>IF(E46&gt;=F46,"Sí","No")</f>
        <v/>
      </c>
      <c r="H46" s="2">
        <f>IF(G46="Sí","Correcta","Revisar")</f>
        <v/>
      </c>
    </row>
    <row r="47" ht="20" customHeight="1">
      <c r="A47" s="6" t="n">
        <v>46</v>
      </c>
      <c r="B47" s="7" t="inlineStr">
        <is>
          <t>Elena</t>
        </is>
      </c>
      <c r="C47" s="7" t="inlineStr">
        <is>
          <t>Golfo</t>
        </is>
      </c>
      <c r="D47" s="7" t="inlineStr">
        <is>
          <t>Laptop</t>
        </is>
      </c>
      <c r="E47" s="8" t="n">
        <v>5000</v>
      </c>
      <c r="F47" s="8" t="n">
        <v>5800</v>
      </c>
      <c r="G47" s="5">
        <f>IF(E47&gt;=F47,"Sí","No")</f>
        <v/>
      </c>
      <c r="H47" s="2">
        <f>IF(G47="Sí","Correcta","Revisar")</f>
        <v/>
      </c>
    </row>
    <row r="48" ht="20" customHeight="1">
      <c r="A48" s="2" t="n">
        <v>47</v>
      </c>
      <c r="B48" s="3" t="inlineStr">
        <is>
          <t>Tomás</t>
        </is>
      </c>
      <c r="C48" s="3" t="inlineStr">
        <is>
          <t>Golfo</t>
        </is>
      </c>
      <c r="D48" s="3" t="inlineStr">
        <is>
          <t>Laptop</t>
        </is>
      </c>
      <c r="E48" s="4" t="n">
        <v>3700</v>
      </c>
      <c r="F48" s="4" t="n">
        <v>4500</v>
      </c>
      <c r="G48" s="5">
        <f>IF(E48&gt;=F48,"Sí","No")</f>
        <v/>
      </c>
      <c r="H48" s="2">
        <f>IF(G48="Sí","Correcta","Revisar")</f>
        <v/>
      </c>
    </row>
    <row r="49" ht="20" customHeight="1">
      <c r="A49" s="6" t="n">
        <v>48</v>
      </c>
      <c r="B49" s="7" t="inlineStr">
        <is>
          <t>Natalia</t>
        </is>
      </c>
      <c r="C49" s="7" t="inlineStr">
        <is>
          <t>Golfo</t>
        </is>
      </c>
      <c r="D49" s="7" t="inlineStr">
        <is>
          <t>Tablet</t>
        </is>
      </c>
      <c r="E49" s="8" t="n">
        <v>6500</v>
      </c>
      <c r="F49" s="8" t="n">
        <v>7300</v>
      </c>
      <c r="G49" s="5">
        <f>IF(E49&gt;=F49,"Sí","No")</f>
        <v/>
      </c>
      <c r="H49" s="2">
        <f>IF(G49="Sí","Correcta","Revisar")</f>
        <v/>
      </c>
    </row>
    <row r="50" ht="20" customHeight="1">
      <c r="A50" s="2" t="n">
        <v>49</v>
      </c>
      <c r="B50" s="3" t="inlineStr">
        <is>
          <t>Juan</t>
        </is>
      </c>
      <c r="C50" s="3" t="inlineStr">
        <is>
          <t>Golfo</t>
        </is>
      </c>
      <c r="D50" s="3" t="inlineStr">
        <is>
          <t>Tablet</t>
        </is>
      </c>
      <c r="E50" s="4" t="n">
        <v>5000</v>
      </c>
      <c r="F50" s="4" t="n">
        <v>5800</v>
      </c>
      <c r="G50" s="5">
        <f>IF(E50&gt;=F50,"Sí","No")</f>
        <v/>
      </c>
      <c r="H50" s="2">
        <f>IF(G50="Sí","Correcta","Revisar")</f>
        <v/>
      </c>
    </row>
    <row r="51" ht="20" customHeight="1">
      <c r="A51" s="6" t="n">
        <v>50</v>
      </c>
      <c r="B51" s="7" t="inlineStr">
        <is>
          <t>Paola</t>
        </is>
      </c>
      <c r="C51" s="7" t="inlineStr">
        <is>
          <t>Golfo</t>
        </is>
      </c>
      <c r="D51" s="7" t="inlineStr">
        <is>
          <t>Monitor</t>
        </is>
      </c>
      <c r="E51" s="8" t="n">
        <v>6000</v>
      </c>
      <c r="F51" s="8" t="n">
        <v>6800</v>
      </c>
      <c r="G51" s="5">
        <f>IF(E51&gt;=F51,"Sí","No")</f>
        <v/>
      </c>
      <c r="H51" s="2">
        <f>IF(G51="Sí","Correcta","Revisar")</f>
        <v/>
      </c>
    </row>
    <row r="53">
      <c r="A53" s="9" t="inlineStr">
        <is>
          <t>Cumplimiento compara Ventas contra Meta. Revisión marca «Revisar» cuando la meta no se cumplió. Las otras dos hojas leen esta tabla.</t>
        </is>
      </c>
    </row>
  </sheetData>
  <autoFilter ref="A1:H51"/>
  <mergeCells count="1">
    <mergeCell ref="A53:H53"/>
  </mergeCells>
  <conditionalFormatting sqref="G2:G51">
    <cfRule type="expression" priority="1" dxfId="0">
      <formula>G2="Sí"</formula>
    </cfRule>
    <cfRule type="expression" priority="2" dxfId="1">
      <formula>G2="No"</formula>
    </cfRule>
  </conditionalFormatting>
  <conditionalFormatting sqref="H2:H51">
    <cfRule type="expression" priority="3" dxfId="2">
      <formula>H2="Revisar"</formula>
    </cfRule>
  </conditionalFormatting>
  <pageMargins left="0.45" right="0.45" top="0.45" bottom="0.45" header="0.2" footer="0.2"/>
  <pageSetup orientation="landscape" paperSize="3" fitToHeight="1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8"/>
  <sheetViews>
    <sheetView showGridLines="1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16" customWidth="1" min="3" max="3"/>
    <col width="78" customWidth="1" min="4" max="4"/>
  </cols>
  <sheetData>
    <row r="1" ht="24" customHeight="1">
      <c r="A1" s="1" t="inlineStr">
        <is>
          <t>KPI / pregunta</t>
        </is>
      </c>
      <c r="B1" s="1" t="inlineStr">
        <is>
          <t>Fórmula</t>
        </is>
      </c>
      <c r="C1" s="1" t="inlineStr">
        <is>
          <t>Resultado</t>
        </is>
      </c>
      <c r="D1" s="1" t="inlineStr">
        <is>
          <t>Interpretación</t>
        </is>
      </c>
    </row>
    <row r="2" ht="32" customHeight="1">
      <c r="A2" s="10" t="inlineStr">
        <is>
          <t>Ventas totales de Laptop</t>
        </is>
      </c>
      <c r="B2" s="2" t="inlineStr">
        <is>
          <t>SUMAR.SI</t>
        </is>
      </c>
      <c r="C2" s="11">
        <f>SUMIF(Datos!D:D,"Laptop",Datos!E:E)</f>
        <v/>
      </c>
      <c r="D2" s="3" t="inlineStr">
        <is>
          <t>Laptop representa el 45% de todas las ventas; es el producto más importante.</t>
        </is>
      </c>
    </row>
    <row r="3" ht="32" customHeight="1">
      <c r="A3" s="12" t="inlineStr">
        <is>
          <t>Ventas totales región Norte</t>
        </is>
      </c>
      <c r="B3" s="6" t="inlineStr">
        <is>
          <t>SUMAR.SI</t>
        </is>
      </c>
      <c r="C3" s="11">
        <f>SUMIF(Datos!C:C,"Norte",Datos!E:E)</f>
        <v/>
      </c>
      <c r="D3" s="7" t="inlineStr">
        <is>
          <t>Norte aporta el 21% del total de ventas.</t>
        </is>
      </c>
    </row>
    <row r="4" ht="32" customHeight="1">
      <c r="A4" s="10" t="inlineStr">
        <is>
          <t>Ventas de registros que cumplieron meta</t>
        </is>
      </c>
      <c r="B4" s="2" t="inlineStr">
        <is>
          <t>SUMAR.SI</t>
        </is>
      </c>
      <c r="C4" s="11">
        <f>SUMIF(Datos!G:G,"Sí",Datos!E:E)</f>
        <v/>
      </c>
      <c r="D4" s="3" t="inlineStr">
        <is>
          <t>El 56% del dinero vendido viene de registros que sí cumplieron la meta.</t>
        </is>
      </c>
    </row>
    <row r="5" ht="32" customHeight="1">
      <c r="A5" s="12" t="inlineStr">
        <is>
          <t>Laptop en Norte</t>
        </is>
      </c>
      <c r="B5" s="6" t="inlineStr">
        <is>
          <t>SUMAR.SI.CONJUNTO</t>
        </is>
      </c>
      <c r="C5" s="11">
        <f>SUMIFS(Datos!E:E,Datos!D:D,"Laptop",Datos!C:C,"Norte")</f>
        <v/>
      </c>
      <c r="D5" s="7" t="inlineStr">
        <is>
          <t>Laptop representa el 74% de lo que se vende en Norte.</t>
        </is>
      </c>
    </row>
    <row r="6" ht="32" customHeight="1">
      <c r="A6" s="10" t="inlineStr">
        <is>
          <t>Tablet en Centro</t>
        </is>
      </c>
      <c r="B6" s="2" t="inlineStr">
        <is>
          <t>SUMAR.SI.CONJUNTO</t>
        </is>
      </c>
      <c r="C6" s="11">
        <f>SUMIFS(Datos!E:E,Datos!D:D,"Tablet",Datos!C:C,"Centro")</f>
        <v/>
      </c>
      <c r="D6" s="3" t="inlineStr">
        <is>
          <t>Las tablets en Centro suman $38,300; sirve para comparar contra otras regiones.</t>
        </is>
      </c>
    </row>
    <row r="8" ht="22" customHeight="1">
      <c r="A8" s="13" t="inlineStr">
        <is>
          <t>SUMAR.SI(dónde busco, qué busco, qué sumo)   ·   SUMAR.SI.CONJUNTO(qué sumo, rango1, criterio1, rango2, criterio2)</t>
        </is>
      </c>
    </row>
  </sheetData>
  <mergeCells count="1">
    <mergeCell ref="A8:D8"/>
  </mergeCells>
  <pageMargins left="0.45" right="0.45" top="0.45" bottom="0.45" header="0.2" footer="0.2"/>
  <pageSetup orientation="landscape" paperSize="3" fitToHeight="1" fitToWidth="1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P37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4" t="inlineStr">
        <is>
          <t>DASHBOARD DE VENTAS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</row>
    <row r="2" ht="20" customHeight="1">
      <c r="A2" s="16" t="inlineStr">
        <is>
          <t>Resumen visual para el gerente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</row>
    <row r="3" ht="18" customHeight="1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</row>
    <row r="4" ht="22" customHeight="1">
      <c r="A4" s="19" t="inlineStr">
        <is>
          <t>Ventas totales</t>
        </is>
      </c>
      <c r="B4" s="20" t="n"/>
      <c r="C4" s="20" t="n"/>
      <c r="D4" s="18" t="n"/>
      <c r="E4" s="19" t="inlineStr">
        <is>
          <t>Cumplen meta ($)</t>
        </is>
      </c>
      <c r="F4" s="20" t="n"/>
      <c r="G4" s="20" t="n"/>
      <c r="H4" s="18" t="n"/>
      <c r="I4" s="19" t="inlineStr">
        <is>
          <t>Registros con meta</t>
        </is>
      </c>
      <c r="J4" s="20" t="n"/>
      <c r="K4" s="20" t="n"/>
      <c r="L4" s="18" t="n"/>
      <c r="M4" s="19" t="inlineStr">
        <is>
          <t>A revisar</t>
        </is>
      </c>
      <c r="N4" s="20" t="n"/>
      <c r="O4" s="20" t="n"/>
      <c r="P4" s="18" t="n"/>
    </row>
    <row r="5" ht="32" customHeight="1">
      <c r="A5" s="21">
        <f>SUM(Datos!E2:E51)</f>
        <v/>
      </c>
      <c r="B5" s="22" t="n"/>
      <c r="C5" s="22" t="n"/>
      <c r="D5" s="18" t="n"/>
      <c r="E5" s="21">
        <f>KPIs!C4</f>
        <v/>
      </c>
      <c r="F5" s="22" t="n"/>
      <c r="G5" s="22" t="n"/>
      <c r="H5" s="18" t="n"/>
      <c r="I5" s="23">
        <f>COUNTIF(Datos!G2:G51,"Sí")</f>
        <v/>
      </c>
      <c r="J5" s="22" t="n"/>
      <c r="K5" s="22" t="n"/>
      <c r="L5" s="18" t="n"/>
      <c r="M5" s="23">
        <f>COUNTIF(Datos!H2:H51,"Revisar")</f>
        <v/>
      </c>
      <c r="N5" s="22" t="n"/>
      <c r="O5" s="22" t="n"/>
      <c r="P5" s="18" t="n"/>
    </row>
    <row r="6" ht="18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</row>
    <row r="7" ht="18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</row>
    <row r="8" ht="20" customHeight="1">
      <c r="A8" s="24" t="inlineStr">
        <is>
          <t>Región</t>
        </is>
      </c>
      <c r="B8" s="24" t="inlineStr">
        <is>
          <t>Ventas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</row>
    <row r="9" ht="18" customHeight="1">
      <c r="A9" s="7" t="inlineStr">
        <is>
          <t>Norte</t>
        </is>
      </c>
      <c r="B9" s="25">
        <f>SUMIF(Datos!C:C,A9,Datos!E:E)</f>
        <v/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</row>
    <row r="10" ht="18" customHeight="1">
      <c r="A10" s="3" t="inlineStr">
        <is>
          <t>Centro</t>
        </is>
      </c>
      <c r="B10" s="26">
        <f>SUMIF(Datos!C:C,A10,Datos!E:E)</f>
        <v/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</row>
    <row r="11" ht="18" customHeight="1">
      <c r="A11" s="7" t="inlineStr">
        <is>
          <t>Occidente</t>
        </is>
      </c>
      <c r="B11" s="25">
        <f>SUMIF(Datos!C:C,A11,Datos!E:E)</f>
        <v/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</row>
    <row r="12" ht="18" customHeight="1">
      <c r="A12" s="3" t="inlineStr">
        <is>
          <t>Sur</t>
        </is>
      </c>
      <c r="B12" s="26">
        <f>SUMIF(Datos!C:C,A12,Datos!E:E)</f>
        <v/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  <row r="13" ht="18" customHeight="1">
      <c r="A13" s="7" t="inlineStr">
        <is>
          <t>Sureste</t>
        </is>
      </c>
      <c r="B13" s="25">
        <f>SUMIF(Datos!C:C,A13,Datos!E:E)</f>
        <v/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 ht="18" customHeight="1">
      <c r="A14" s="3" t="inlineStr">
        <is>
          <t>Noroeste</t>
        </is>
      </c>
      <c r="B14" s="26">
        <f>SUMIF(Datos!C:C,A14,Datos!E:E)</f>
        <v/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</row>
    <row r="15" ht="18" customHeight="1">
      <c r="A15" s="7" t="inlineStr">
        <is>
          <t>Bajío</t>
        </is>
      </c>
      <c r="B15" s="25">
        <f>SUMIF(Datos!C:C,A15,Datos!E:E)</f>
        <v/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</row>
    <row r="16" ht="18" customHeight="1">
      <c r="A16" s="3" t="inlineStr">
        <is>
          <t>Golfo</t>
        </is>
      </c>
      <c r="B16" s="26">
        <f>SUMIF(Datos!C:C,A16,Datos!E:E)</f>
        <v/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 ht="20" customHeight="1">
      <c r="A18" s="24" t="inlineStr">
        <is>
          <t>Producto</t>
        </is>
      </c>
      <c r="B18" s="24" t="inlineStr">
        <is>
          <t>Ventas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</row>
    <row r="19" ht="18" customHeight="1">
      <c r="A19" s="7" t="inlineStr">
        <is>
          <t>Laptop</t>
        </is>
      </c>
      <c r="B19" s="25">
        <f>SUMIF(Datos!D:D,A19,Datos!E:E)</f>
        <v/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 ht="18" customHeight="1">
      <c r="A20" s="3" t="inlineStr">
        <is>
          <t>Tablet</t>
        </is>
      </c>
      <c r="B20" s="26">
        <f>SUMIF(Datos!D:D,A20,Datos!E:E)</f>
        <v/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</row>
    <row r="21" ht="18" customHeight="1">
      <c r="A21" s="7" t="inlineStr">
        <is>
          <t>Monitor</t>
        </is>
      </c>
      <c r="B21" s="25">
        <f>SUMIF(Datos!D:D,A21,Datos!E:E)</f>
        <v/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 ht="18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</row>
    <row r="23" ht="18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</row>
    <row r="24" ht="18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</row>
    <row r="25" ht="18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</row>
    <row r="26" ht="18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 ht="18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18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</row>
    <row r="29" ht="18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</row>
    <row r="30" ht="18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</row>
    <row r="31" ht="18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</row>
    <row r="32" ht="18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</row>
    <row r="33" ht="18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 ht="18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</row>
    <row r="35" ht="18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</row>
    <row r="36" ht="18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</row>
    <row r="37" ht="18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</sheetData>
  <mergeCells count="10">
    <mergeCell ref="A5:C5"/>
    <mergeCell ref="A1:P1"/>
    <mergeCell ref="E5:G5"/>
    <mergeCell ref="I5:K5"/>
    <mergeCell ref="M4:O4"/>
    <mergeCell ref="M5:O5"/>
    <mergeCell ref="E4:G4"/>
    <mergeCell ref="I4:K4"/>
    <mergeCell ref="A4:C4"/>
    <mergeCell ref="A2:P2"/>
  </mergeCells>
  <pageMargins left="0.35" right="0.35" top="0.4" bottom="0.4" header="0.15" footer="0.15"/>
  <pageSetup orientation="landscape" paperSize="3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2026-10-20T04:19:16Z</dcterms:created>
  <dcterms:modified xmlns:dcterms="http://purl.org/dc/terms/" xmlns:xsi="http://www.w3.org/2001/XMLSchema-instance" xsi:type="dcterms:W3CDTF">2026-10-20T04:19:16Z</dcterms:modified>
</cp:coreProperties>
</file>